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nt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<sst xmlns="http://schemas.openxmlformats.org/spreadsheetml/2006/main" count="9" uniqueCount="9">
  <si>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ID</t>
  </si>
  <si>
    <t xml:space="preserve">Prix</t>
  </si>
  <si>
    <t xml:space="preserve">Quantite</t>
  </si>
  <si>
    <t xml:space="preserve">Remise</t>
  </si>
  <si>
    <t xml:space="preserve">CA_Brut</t>
  </si>
  <si>
    <t xml:space="preserve">CA_Net</t>
  </si>
  <si>
    <t xml:space="preserve">TVA</t>
  </si>
  <si>
    <t xml:space="preserve">CA_Total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</si>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</sst>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EBF0FA"/>
        <bgColor rgb="FFFFFFFF"/>
      </patternFill>
    </fill>
    <fill>
      <patternFill patternType="solid">
        <fgColor rgb="FFFFFFFF"/>
        <bgColor rgb="FFEBF0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BF0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4" min="2" style="0" width="10"/>
    <col collapsed="false" customWidth="true" hidden="false" outlineLevel="0" max="8" min="5" style="0" width="12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n">
        <v>100</v>
      </c>
      <c r="B2" s="3" t="n">
        <v>9.88</v>
      </c>
      <c r="C2" s="2" t="n">
        <v>4</v>
      </c>
      <c r="D2" s="2" t="n">
        <v>0</v>
      </c>
      <c r="E2" s="3" t="n">
        <f aca="false">B2*C2</f>
        <v>39.52</v>
      </c>
      <c r="F2" s="3" t="n">
        <f aca="false">E2*(1-D2/100)</f>
        <v>39.52</v>
      </c>
      <c r="G2" s="3" t="n">
        <f aca="false">F2*0.2</f>
        <v>7.904</v>
      </c>
      <c r="H2" s="3" t="n">
        <f aca="false">F2+G2</f>
        <v>47.424</v>
      </c>
    </row>
    <row r="3" customFormat="false" ht="15" hidden="false" customHeight="false" outlineLevel="0" collapsed="false">
      <c r="A3" s="4" t="n">
        <v>101</v>
      </c>
      <c r="B3" s="5" t="n">
        <v>178.98</v>
      </c>
      <c r="C3" s="4" t="n">
        <v>5</v>
      </c>
      <c r="D3" s="4" t="n">
        <v>0</v>
      </c>
      <c r="E3" s="5" t="n">
        <f aca="false">B3*C3</f>
        <v>894.9</v>
      </c>
      <c r="F3" s="5" t="n">
        <f aca="false">E3*(1-D3/100)</f>
        <v>894.9</v>
      </c>
      <c r="G3" s="5" t="n">
        <f aca="false">F3*0.2</f>
        <v>178.98</v>
      </c>
      <c r="H3" s="5" t="n">
        <f aca="false">F3+G3</f>
        <v>1073.88</v>
      </c>
    </row>
    <row r="4" customFormat="false" ht="15" hidden="false" customHeight="false" outlineLevel="0" collapsed="false">
      <c r="A4" s="2" t="n">
        <v>102</v>
      </c>
      <c r="B4" s="3" t="n">
        <v>50.37</v>
      </c>
      <c r="C4" s="2" t="n">
        <v>9</v>
      </c>
      <c r="D4" s="2" t="n">
        <v>30</v>
      </c>
      <c r="E4" s="3" t="n">
        <f aca="false">B4*C4</f>
        <v>453.33</v>
      </c>
      <c r="F4" s="3" t="n">
        <f aca="false">E4*(1-D4/100)</f>
        <v>317.331</v>
      </c>
      <c r="G4" s="3" t="n">
        <f aca="false">F4*0.2</f>
        <v>63.4662</v>
      </c>
      <c r="H4" s="3" t="n">
        <f aca="false">F4+G4</f>
        <v>380.7972</v>
      </c>
    </row>
    <row r="5" customFormat="false" ht="15" hidden="false" customHeight="false" outlineLevel="0" collapsed="false">
      <c r="A5" s="4" t="n">
        <v>103</v>
      </c>
      <c r="B5" s="5" t="n">
        <v>86.81</v>
      </c>
      <c r="C5" s="4" t="n">
        <v>5</v>
      </c>
      <c r="D5" s="4" t="n">
        <v>0</v>
      </c>
      <c r="E5" s="5" t="n">
        <f aca="false">B5*C5</f>
        <v>434.05</v>
      </c>
      <c r="F5" s="5" t="n">
        <f aca="false">E5*(1-D5/100)</f>
        <v>434.05</v>
      </c>
      <c r="G5" s="5" t="n">
        <f aca="false">F5*0.2</f>
        <v>86.81</v>
      </c>
      <c r="H5" s="5" t="n">
        <f aca="false">F5+G5</f>
        <v>520.86</v>
      </c>
    </row>
    <row r="6" customFormat="false" ht="15" hidden="false" customHeight="false" outlineLevel="0" collapsed="false">
      <c r="A6" s="2" t="n">
        <v>104</v>
      </c>
      <c r="B6" s="3" t="n">
        <v>36.13</v>
      </c>
      <c r="C6" s="2" t="n">
        <v>5</v>
      </c>
      <c r="D6" s="2" t="n">
        <v>0</v>
      </c>
      <c r="E6" s="3" t="n">
        <f aca="false">B6*C6</f>
        <v>180.65</v>
      </c>
      <c r="F6" s="3" t="n">
        <f aca="false">E6*(1-D6/100)</f>
        <v>180.65</v>
      </c>
      <c r="G6" s="3" t="n">
        <f aca="false">F6*0.2</f>
        <v>36.13</v>
      </c>
      <c r="H6" s="3" t="n">
        <f aca="false">F6+G6</f>
        <v>216.78</v>
      </c>
    </row>
    <row r="7" customFormat="false" ht="15" hidden="false" customHeight="false" outlineLevel="0" collapsed="false">
      <c r="A7" s="4" t="n">
        <v>105</v>
      </c>
      <c r="B7" s="5" t="n">
        <v>79.09</v>
      </c>
      <c r="C7" s="4" t="n">
        <v>6</v>
      </c>
      <c r="D7" s="4" t="n">
        <v>0</v>
      </c>
      <c r="E7" s="5" t="n">
        <f aca="false">B7*C7</f>
        <v>474.54</v>
      </c>
      <c r="F7" s="5" t="n">
        <f aca="false">E7*(1-D7/100)</f>
        <v>474.54</v>
      </c>
      <c r="G7" s="5" t="n">
        <f aca="false">F7*0.2</f>
        <v>94.908</v>
      </c>
      <c r="H7" s="5" t="n">
        <f aca="false">F7+G7</f>
        <v>569.448</v>
      </c>
    </row>
    <row r="8" customFormat="false" ht="15" hidden="false" customHeight="false" outlineLevel="0" collapsed="false">
      <c r="A8" s="2" t="n">
        <v>106</v>
      </c>
      <c r="B8" s="3" t="n">
        <v>109.56</v>
      </c>
      <c r="C8" s="2" t="n">
        <v>7</v>
      </c>
      <c r="D8" s="2" t="n">
        <v>0</v>
      </c>
      <c r="E8" s="3" t="n">
        <f aca="false">B8*C8</f>
        <v>766.92</v>
      </c>
      <c r="F8" s="3" t="n">
        <f aca="false">E8*(1-D8/100)</f>
        <v>766.92</v>
      </c>
      <c r="G8" s="3" t="n">
        <f aca="false">F8*0.2</f>
        <v>153.384</v>
      </c>
      <c r="H8" s="3" t="n">
        <f aca="false">F8+G8</f>
        <v>920.304</v>
      </c>
    </row>
    <row r="9" customFormat="false" ht="15" hidden="false" customHeight="false" outlineLevel="0" collapsed="false">
      <c r="A9" s="4" t="n">
        <v>107</v>
      </c>
      <c r="B9" s="5" t="n">
        <v>127.58</v>
      </c>
      <c r="C9" s="4" t="n">
        <v>6</v>
      </c>
      <c r="D9" s="4" t="n">
        <v>0</v>
      </c>
      <c r="E9" s="5" t="n">
        <f aca="false">B9*C9</f>
        <v>765.48</v>
      </c>
      <c r="F9" s="5" t="n">
        <f aca="false">E9*(1-D9/100)</f>
        <v>765.48</v>
      </c>
      <c r="G9" s="5" t="n">
        <f aca="false">F9*0.2</f>
        <v>153.096</v>
      </c>
      <c r="H9" s="5" t="n">
        <f aca="false">F9+G9</f>
        <v>918.576</v>
      </c>
    </row>
    <row r="10" customFormat="false" ht="15" hidden="false" customHeight="false" outlineLevel="0" collapsed="false">
      <c r="A10" s="2" t="n">
        <v>108</v>
      </c>
      <c r="B10" s="3" t="n">
        <v>119.95</v>
      </c>
      <c r="C10" s="2" t="n">
        <v>5</v>
      </c>
      <c r="D10" s="2" t="n">
        <v>5</v>
      </c>
      <c r="E10" s="3" t="n">
        <f aca="false">B10*C10</f>
        <v>599.75</v>
      </c>
      <c r="F10" s="3" t="n">
        <f aca="false">E10*(1-D10/100)</f>
        <v>569.7625</v>
      </c>
      <c r="G10" s="3" t="n">
        <f aca="false">F10*0.2</f>
        <v>113.9525</v>
      </c>
      <c r="H10" s="3" t="n">
        <f aca="false">F10+G10</f>
        <v>683.715</v>
      </c>
    </row>
    <row r="11" customFormat="false" ht="15" hidden="false" customHeight="false" outlineLevel="0" collapsed="false">
      <c r="A11" s="4" t="n">
        <v>109</v>
      </c>
      <c r="B11" s="5" t="n">
        <v>79.12</v>
      </c>
      <c r="C11" s="4" t="n">
        <v>14</v>
      </c>
      <c r="D11" s="4" t="n">
        <v>10</v>
      </c>
      <c r="E11" s="5" t="n">
        <f aca="false">B11*C11</f>
        <v>1107.68</v>
      </c>
      <c r="F11" s="5" t="n">
        <f aca="false">E11*(1-D11/100)</f>
        <v>996.912</v>
      </c>
      <c r="G11" s="5" t="n">
        <f aca="false">F11*0.2</f>
        <v>199.3824</v>
      </c>
      <c r="H11" s="5" t="n">
        <f aca="false">F11+G11</f>
        <v>1196.2944</v>
      </c>
    </row>
    <row r="12" customFormat="false" ht="15" hidden="false" customHeight="false" outlineLevel="0" collapsed="false">
      <c r="A12" s="2" t="n">
        <v>110</v>
      </c>
      <c r="B12" s="3" t="n">
        <v>135.68</v>
      </c>
      <c r="C12" s="2" t="n">
        <v>11</v>
      </c>
      <c r="D12" s="2" t="n">
        <v>25</v>
      </c>
      <c r="E12" s="3" t="n">
        <f aca="false">B12*C12</f>
        <v>1492.48</v>
      </c>
      <c r="F12" s="3" t="n">
        <f aca="false">E12*(1-D12/100)</f>
        <v>1119.36</v>
      </c>
      <c r="G12" s="3" t="n">
        <f aca="false">F12*0.2</f>
        <v>223.872</v>
      </c>
      <c r="H12" s="3" t="n">
        <f aca="false">F12+G12</f>
        <v>1343.232</v>
      </c>
    </row>
    <row r="13" customFormat="false" ht="15" hidden="false" customHeight="false" outlineLevel="0" collapsed="false">
      <c r="A13" s="4" t="n">
        <v>111</v>
      </c>
      <c r="B13" s="5" t="n">
        <v>109.16</v>
      </c>
      <c r="C13" s="4" t="n">
        <v>8</v>
      </c>
      <c r="D13" s="4" t="n">
        <v>30</v>
      </c>
      <c r="E13" s="5" t="n">
        <f aca="false">B13*C13</f>
        <v>873.28</v>
      </c>
      <c r="F13" s="5" t="n">
        <f aca="false">E13*(1-D13/100)</f>
        <v>611.296</v>
      </c>
      <c r="G13" s="5" t="n">
        <f aca="false">F13*0.2</f>
        <v>122.2592</v>
      </c>
      <c r="H13" s="5" t="n">
        <f aca="false">F13+G13</f>
        <v>733.5552</v>
      </c>
    </row>
    <row r="14" customFormat="false" ht="15" hidden="false" customHeight="false" outlineLevel="0" collapsed="false">
      <c r="A14" s="2" t="n">
        <v>112</v>
      </c>
      <c r="B14" s="3" t="n">
        <v>47.82</v>
      </c>
      <c r="C14" s="2" t="n">
        <v>13</v>
      </c>
      <c r="D14" s="2" t="n">
        <v>5</v>
      </c>
      <c r="E14" s="3" t="n">
        <f aca="false">B14*C14</f>
        <v>621.66</v>
      </c>
      <c r="F14" s="3" t="n">
        <f aca="false">E14*(1-D14/100)</f>
        <v>590.577</v>
      </c>
      <c r="G14" s="3" t="n">
        <f aca="false">F14*0.2</f>
        <v>118.1154</v>
      </c>
      <c r="H14" s="3" t="n">
        <f aca="false">F14+G14</f>
        <v>708.6924</v>
      </c>
    </row>
    <row r="15" customFormat="false" ht="15" hidden="false" customHeight="false" outlineLevel="0" collapsed="false">
      <c r="A15" s="4" t="n">
        <v>113</v>
      </c>
      <c r="B15" s="5" t="n">
        <v>161.98</v>
      </c>
      <c r="C15" s="4" t="n">
        <v>2</v>
      </c>
      <c r="D15" s="4" t="n">
        <v>25</v>
      </c>
      <c r="E15" s="5" t="n">
        <f aca="false">B15*C15</f>
        <v>323.96</v>
      </c>
      <c r="F15" s="5" t="n">
        <f aca="false">E15*(1-D15/100)</f>
        <v>242.97</v>
      </c>
      <c r="G15" s="5" t="n">
        <f aca="false">F15*0.2</f>
        <v>48.594</v>
      </c>
      <c r="H15" s="5" t="n">
        <f aca="false">F15+G15</f>
        <v>291.564</v>
      </c>
    </row>
    <row r="16" customFormat="false" ht="15" hidden="false" customHeight="false" outlineLevel="0" collapsed="false">
      <c r="A16" s="2" t="n">
        <v>114</v>
      </c>
      <c r="B16" s="3" t="n">
        <v>66.36</v>
      </c>
      <c r="C16" s="2" t="n">
        <v>7</v>
      </c>
      <c r="D16" s="2" t="n">
        <v>30</v>
      </c>
      <c r="E16" s="3" t="n">
        <f aca="false">B16*C16</f>
        <v>464.52</v>
      </c>
      <c r="F16" s="3" t="n">
        <f aca="false">E16*(1-D16/100)</f>
        <v>325.164</v>
      </c>
      <c r="G16" s="3" t="n">
        <f aca="false">F16*0.2</f>
        <v>65.0328</v>
      </c>
      <c r="H16" s="3" t="n">
        <f aca="false">F16+G16</f>
        <v>390.1968</v>
      </c>
    </row>
    <row r="17" customFormat="false" ht="15" hidden="false" customHeight="false" outlineLevel="0" collapsed="false">
      <c r="A17" s="4" t="n">
        <v>115</v>
      </c>
      <c r="B17" s="5" t="n">
        <v>56.65</v>
      </c>
      <c r="C17" s="4" t="n">
        <v>9</v>
      </c>
      <c r="D17" s="4" t="n">
        <v>25</v>
      </c>
      <c r="E17" s="5" t="n">
        <f aca="false">B17*C17</f>
        <v>509.85</v>
      </c>
      <c r="F17" s="5" t="n">
        <f aca="false">E17*(1-D17/100)</f>
        <v>382.3875</v>
      </c>
      <c r="G17" s="5" t="n">
        <f aca="false">F17*0.2</f>
        <v>76.4775</v>
      </c>
      <c r="H17" s="5" t="n">
        <f aca="false">F17+G17</f>
        <v>458.865</v>
      </c>
    </row>
    <row r="18" customFormat="false" ht="15" hidden="false" customHeight="false" outlineLevel="0" collapsed="false">
      <c r="A18" s="2" t="n">
        <v>116</v>
      </c>
      <c r="B18" s="3" t="n">
        <v>118.79</v>
      </c>
      <c r="C18" s="2" t="n">
        <v>3</v>
      </c>
      <c r="D18" s="2" t="n">
        <v>0</v>
      </c>
      <c r="E18" s="3" t="n">
        <f aca="false">B18*C18</f>
        <v>356.37</v>
      </c>
      <c r="F18" s="3" t="n">
        <f aca="false">E18*(1-D18/100)</f>
        <v>356.37</v>
      </c>
      <c r="G18" s="3" t="n">
        <f aca="false">F18*0.2</f>
        <v>71.274</v>
      </c>
      <c r="H18" s="3" t="n">
        <f aca="false">F18+G18</f>
        <v>427.644</v>
      </c>
    </row>
    <row r="19" customFormat="false" ht="15" hidden="false" customHeight="false" outlineLevel="0" collapsed="false">
      <c r="A19" s="4" t="n">
        <v>117</v>
      </c>
      <c r="B19" s="5" t="n">
        <v>172.92</v>
      </c>
      <c r="C19" s="4" t="n">
        <v>3</v>
      </c>
      <c r="D19" s="4" t="n">
        <v>10</v>
      </c>
      <c r="E19" s="5" t="n">
        <f aca="false">B19*C19</f>
        <v>518.76</v>
      </c>
      <c r="F19" s="5" t="n">
        <f aca="false">E19*(1-D19/100)</f>
        <v>466.884</v>
      </c>
      <c r="G19" s="5" t="n">
        <f aca="false">F19*0.2</f>
        <v>93.3768</v>
      </c>
      <c r="H19" s="5" t="n">
        <f aca="false">F19+G19</f>
        <v>560.2608</v>
      </c>
    </row>
    <row r="20" customFormat="false" ht="15" hidden="false" customHeight="false" outlineLevel="0" collapsed="false">
      <c r="A20" s="2" t="n">
        <v>118</v>
      </c>
      <c r="B20" s="3" t="n">
        <v>80.03</v>
      </c>
      <c r="C20" s="2" t="n">
        <v>8</v>
      </c>
      <c r="D20" s="2" t="n">
        <v>20</v>
      </c>
      <c r="E20" s="3" t="n">
        <f aca="false">B20*C20</f>
        <v>640.24</v>
      </c>
      <c r="F20" s="3" t="n">
        <f aca="false">E20*(1-D20/100)</f>
        <v>512.192</v>
      </c>
      <c r="G20" s="3" t="n">
        <f aca="false">F20*0.2</f>
        <v>102.4384</v>
      </c>
      <c r="H20" s="3" t="n">
        <f aca="false">F20+G20</f>
        <v>614.6304</v>
      </c>
    </row>
    <row r="21" customFormat="false" ht="15" hidden="false" customHeight="false" outlineLevel="0" collapsed="false">
      <c r="A21" s="4" t="n">
        <v>119</v>
      </c>
      <c r="B21" s="5" t="n">
        <v>7.24</v>
      </c>
      <c r="C21" s="4" t="n">
        <v>11</v>
      </c>
      <c r="D21" s="4" t="n">
        <v>5</v>
      </c>
      <c r="E21" s="5" t="n">
        <f aca="false">B21*C21</f>
        <v>79.64</v>
      </c>
      <c r="F21" s="5" t="n">
        <f aca="false">E21*(1-D21/100)</f>
        <v>75.658</v>
      </c>
      <c r="G21" s="5" t="n">
        <f aca="false">F21*0.2</f>
        <v>15.1316</v>
      </c>
      <c r="H21" s="5" t="n">
        <f aca="false">F21+G21</f>
        <v>90.7896</v>
      </c>
    </row>
    <row r="22" customFormat="false" ht="15" hidden="false" customHeight="false" outlineLevel="0" collapsed="false">
      <c r="A22" s="2" t="n">
        <v>120</v>
      </c>
      <c r="B22" s="3" t="n">
        <v>71.33</v>
      </c>
      <c r="C22" s="2" t="n">
        <v>3</v>
      </c>
      <c r="D22" s="2" t="n">
        <v>5</v>
      </c>
      <c r="E22" s="3" t="n">
        <f aca="false">B22*C22</f>
        <v>213.99</v>
      </c>
      <c r="F22" s="3" t="n">
        <f aca="false">E22*(1-D22/100)</f>
        <v>203.2905</v>
      </c>
      <c r="G22" s="3" t="n">
        <f aca="false">F22*0.2</f>
        <v>40.6581</v>
      </c>
      <c r="H22" s="3" t="n">
        <f aca="false">F22+G22</f>
        <v>243.9486</v>
      </c>
    </row>
    <row r="23" customFormat="false" ht="15" hidden="false" customHeight="false" outlineLevel="0" collapsed="false">
      <c r="A23" s="4" t="n">
        <v>121</v>
      </c>
      <c r="B23" s="5" t="n">
        <v>153.58</v>
      </c>
      <c r="C23" s="4" t="n">
        <v>2</v>
      </c>
      <c r="D23" s="4" t="n">
        <v>5</v>
      </c>
      <c r="E23" s="5" t="n">
        <f aca="false">B23*C23</f>
        <v>307.16</v>
      </c>
      <c r="F23" s="5" t="n">
        <f aca="false">E23*(1-D23/100)</f>
        <v>291.802</v>
      </c>
      <c r="G23" s="5" t="n">
        <f aca="false">F23*0.2</f>
        <v>58.3604</v>
      </c>
      <c r="H23" s="5" t="n">
        <f aca="false">F23+G23</f>
        <v>350.1624</v>
      </c>
    </row>
    <row r="24" customFormat="false" ht="15" hidden="false" customHeight="false" outlineLevel="0" collapsed="false">
      <c r="A24" s="2" t="n">
        <v>122</v>
      </c>
      <c r="B24" s="3" t="n">
        <v>103.99</v>
      </c>
      <c r="C24" s="2" t="n">
        <v>6</v>
      </c>
      <c r="D24" s="2" t="n">
        <v>20</v>
      </c>
      <c r="E24" s="3" t="n">
        <f aca="false">B24*C24</f>
        <v>623.94</v>
      </c>
      <c r="F24" s="3" t="n">
        <f aca="false">E24*(1-D24/100)</f>
        <v>499.152</v>
      </c>
      <c r="G24" s="3" t="n">
        <f aca="false">F24*0.2</f>
        <v>99.8304</v>
      </c>
      <c r="H24" s="3" t="n">
        <f aca="false">F24+G24</f>
        <v>598.9824</v>
      </c>
    </row>
    <row r="25" customFormat="false" ht="15" hidden="false" customHeight="false" outlineLevel="0" collapsed="false">
      <c r="A25" s="4" t="n">
        <v>123</v>
      </c>
      <c r="B25" s="5" t="n">
        <v>184.87</v>
      </c>
      <c r="C25" s="4" t="n">
        <v>10</v>
      </c>
      <c r="D25" s="4" t="n">
        <v>0</v>
      </c>
      <c r="E25" s="5" t="n">
        <f aca="false">B25*C25</f>
        <v>1848.7</v>
      </c>
      <c r="F25" s="5" t="n">
        <f aca="false">E25*(1-D25/100)</f>
        <v>1848.7</v>
      </c>
      <c r="G25" s="5" t="n">
        <f aca="false">F25*0.2</f>
        <v>369.74</v>
      </c>
      <c r="H25" s="5" t="n">
        <f aca="false">F25+G25</f>
        <v>2218.44</v>
      </c>
    </row>
    <row r="26" customFormat="false" ht="15" hidden="false" customHeight="false" outlineLevel="0" collapsed="false">
      <c r="A26" s="2" t="n">
        <v>124</v>
      </c>
      <c r="B26" s="3" t="n">
        <v>75.78</v>
      </c>
      <c r="C26" s="2" t="n">
        <v>13</v>
      </c>
      <c r="D26" s="2" t="n">
        <v>0</v>
      </c>
      <c r="E26" s="3" t="n">
        <f aca="false">B26*C26</f>
        <v>985.14</v>
      </c>
      <c r="F26" s="3" t="n">
        <f aca="false">E26*(1-D26/100)</f>
        <v>985.14</v>
      </c>
      <c r="G26" s="3" t="n">
        <f aca="false">F26*0.2</f>
        <v>197.028</v>
      </c>
      <c r="H26" s="3" t="n">
        <f aca="false">F26+G26</f>
        <v>1182.168</v>
      </c>
    </row>
    <row r="27" customFormat="false" ht="15" hidden="false" customHeight="false" outlineLevel="0" collapsed="false">
      <c r="A27" s="4" t="n">
        <v>125</v>
      </c>
      <c r="B27" s="5" t="n">
        <v>115.63</v>
      </c>
      <c r="C27" s="4" t="n">
        <v>5</v>
      </c>
      <c r="D27" s="4" t="n">
        <v>20</v>
      </c>
      <c r="E27" s="5" t="n">
        <f aca="false">B27*C27</f>
        <v>578.15</v>
      </c>
      <c r="F27" s="5" t="n">
        <f aca="false">E27*(1-D27/100)</f>
        <v>462.52</v>
      </c>
      <c r="G27" s="5" t="n">
        <f aca="false">F27*0.2</f>
        <v>92.504</v>
      </c>
      <c r="H27" s="5" t="n">
        <f aca="false">F27+G27</f>
        <v>555.024</v>
      </c>
    </row>
    <row r="28" customFormat="false" ht="15" hidden="false" customHeight="false" outlineLevel="0" collapsed="false">
      <c r="A28" s="2" t="n">
        <v>126</v>
      </c>
      <c r="B28" s="3" t="n">
        <v>30.04</v>
      </c>
      <c r="C28" s="2" t="n">
        <v>9</v>
      </c>
      <c r="D28" s="2" t="n">
        <v>20</v>
      </c>
      <c r="E28" s="3" t="n">
        <f aca="false">B28*C28</f>
        <v>270.36</v>
      </c>
      <c r="F28" s="3" t="n">
        <f aca="false">E28*(1-D28/100)</f>
        <v>216.288</v>
      </c>
      <c r="G28" s="3" t="n">
        <f aca="false">F28*0.2</f>
        <v>43.2576</v>
      </c>
      <c r="H28" s="3" t="n">
        <f aca="false">F28+G28</f>
        <v>259.5456</v>
      </c>
    </row>
    <row r="29" customFormat="false" ht="15" hidden="false" customHeight="false" outlineLevel="0" collapsed="false">
      <c r="A29" s="4" t="n">
        <v>127</v>
      </c>
      <c r="B29" s="5" t="n">
        <v>87.51</v>
      </c>
      <c r="C29" s="4" t="n">
        <v>9</v>
      </c>
      <c r="D29" s="4" t="n">
        <v>5</v>
      </c>
      <c r="E29" s="5" t="n">
        <f aca="false">B29*C29</f>
        <v>787.59</v>
      </c>
      <c r="F29" s="5" t="n">
        <f aca="false">E29*(1-D29/100)</f>
        <v>748.2105</v>
      </c>
      <c r="G29" s="5" t="n">
        <f aca="false">F29*0.2</f>
        <v>149.6421</v>
      </c>
      <c r="H29" s="5" t="n">
        <f aca="false">F29+G29</f>
        <v>897.8526</v>
      </c>
    </row>
    <row r="30" customFormat="false" ht="15" hidden="false" customHeight="false" outlineLevel="0" collapsed="false">
      <c r="A30" s="2" t="n">
        <v>128</v>
      </c>
      <c r="B30" s="3" t="n">
        <v>82.8</v>
      </c>
      <c r="C30" s="2" t="n">
        <v>6</v>
      </c>
      <c r="D30" s="2" t="n">
        <v>20</v>
      </c>
      <c r="E30" s="3" t="n">
        <f aca="false">B30*C30</f>
        <v>496.8</v>
      </c>
      <c r="F30" s="3" t="n">
        <f aca="false">E30*(1-D30/100)</f>
        <v>397.44</v>
      </c>
      <c r="G30" s="3" t="n">
        <f aca="false">F30*0.2</f>
        <v>79.488</v>
      </c>
      <c r="H30" s="3" t="n">
        <f aca="false">F30+G30</f>
        <v>476.928</v>
      </c>
    </row>
    <row r="31" customFormat="false" ht="15" hidden="false" customHeight="false" outlineLevel="0" collapsed="false">
      <c r="A31" s="4" t="n">
        <v>129</v>
      </c>
      <c r="B31" s="5" t="n">
        <v>53.34</v>
      </c>
      <c r="C31" s="4" t="n">
        <v>0</v>
      </c>
      <c r="D31" s="4" t="n">
        <v>0</v>
      </c>
      <c r="E31" s="5" t="n">
        <f aca="false">B31*C31</f>
        <v>0</v>
      </c>
      <c r="F31" s="5" t="n">
        <f aca="false">E31*(1-D31/100)</f>
        <v>0</v>
      </c>
      <c r="G31" s="5" t="n">
        <f aca="false">F31*0.2</f>
        <v>0</v>
      </c>
      <c r="H31" s="5" t="n">
        <f aca="false">F31+G31</f>
        <v>0</v>
      </c>
    </row>
    <row r="32" customFormat="false" ht="15" hidden="false" customHeight="false" outlineLevel="0" collapsed="false">
      <c r="A32" s="2" t="n">
        <v>131</v>
      </c>
      <c r="B32" s="3" t="n">
        <v>181.56</v>
      </c>
      <c r="C32" s="2" t="n">
        <v>2</v>
      </c>
      <c r="D32" s="2" t="n">
        <v>5</v>
      </c>
      <c r="E32" s="3" t="n">
        <f aca="false">B32*C32</f>
        <v>363.12</v>
      </c>
      <c r="F32" s="3" t="n">
        <f aca="false">E32*(1-D32/100)</f>
        <v>344.964</v>
      </c>
      <c r="G32" s="3" t="n">
        <f aca="false">F32*0.2</f>
        <v>68.9928</v>
      </c>
      <c r="H32" s="3" t="n">
        <f aca="false">F32+G32</f>
        <v>413.9568</v>
      </c>
    </row>
    <row r="33" customFormat="false" ht="15" hidden="false" customHeight="false" outlineLevel="0" collapsed="false">
      <c r="A33" s="4" t="n">
        <v>132</v>
      </c>
      <c r="B33" s="5" t="n">
        <v>46.78</v>
      </c>
      <c r="C33" s="4" t="n">
        <v>15</v>
      </c>
      <c r="D33" s="4" t="n">
        <v>25</v>
      </c>
      <c r="E33" s="5" t="n">
        <f aca="false">B33*C33</f>
        <v>701.7</v>
      </c>
      <c r="F33" s="5" t="n">
        <f aca="false">E33*(1-D33/100)</f>
        <v>526.275</v>
      </c>
      <c r="G33" s="5" t="n">
        <f aca="false">F33*0.2</f>
        <v>105.255</v>
      </c>
      <c r="H33" s="5" t="n">
        <f aca="false">F33+G33</f>
        <v>631.53</v>
      </c>
    </row>
    <row r="34" customFormat="false" ht="15" hidden="false" customHeight="false" outlineLevel="0" collapsed="false">
      <c r="A34" s="2" t="n">
        <v>133</v>
      </c>
      <c r="B34" s="3" t="n">
        <v>158</v>
      </c>
      <c r="C34" s="2" t="n">
        <v>4</v>
      </c>
      <c r="D34" s="2" t="n">
        <v>42</v>
      </c>
      <c r="E34" s="3" t="n">
        <f aca="false">B34*C34</f>
        <v>632</v>
      </c>
      <c r="F34" s="3" t="n">
        <f aca="false">E34*(1-D34/100)</f>
        <v>366.56</v>
      </c>
      <c r="G34" s="3" t="n">
        <f aca="false">F34*0.2</f>
        <v>73.312</v>
      </c>
      <c r="H34" s="3" t="n">
        <f aca="false">F34+G34</f>
        <v>439.872</v>
      </c>
    </row>
    <row r="35" customFormat="false" ht="15" hidden="false" customHeight="false" outlineLevel="0" collapsed="false">
      <c r="A35" s="4" t="n">
        <v>134</v>
      </c>
      <c r="B35" s="5" t="n">
        <v>87.6</v>
      </c>
      <c r="C35" s="4" t="n">
        <v>12</v>
      </c>
      <c r="D35" s="4" t="n">
        <v>0</v>
      </c>
      <c r="E35" s="5" t="n">
        <f aca="false">B35*C35</f>
        <v>1051.2</v>
      </c>
      <c r="F35" s="5" t="n">
        <f aca="false">E35*(1-D35/100)</f>
        <v>1051.2</v>
      </c>
      <c r="G35" s="5" t="n">
        <f aca="false">F35*0.2</f>
        <v>210.24</v>
      </c>
      <c r="H35" s="5" t="n">
        <f aca="false">F35+G35</f>
        <v>1261.44</v>
      </c>
    </row>
    <row r="36" customFormat="false" ht="15" hidden="false" customHeight="false" outlineLevel="0" collapsed="false">
      <c r="A36" s="2" t="n">
        <v>135</v>
      </c>
      <c r="B36" s="3" t="n">
        <v>131.01</v>
      </c>
      <c r="C36" s="2" t="n">
        <v>0</v>
      </c>
      <c r="D36" s="2" t="n">
        <v>0</v>
      </c>
      <c r="E36" s="3" t="n">
        <f aca="false">B36*C36</f>
        <v>0</v>
      </c>
      <c r="F36" s="3" t="n">
        <f aca="false">E36*(1-D36/100)</f>
        <v>0</v>
      </c>
      <c r="G36" s="3" t="n">
        <f aca="false">F36*0.2</f>
        <v>0</v>
      </c>
      <c r="H36" s="3" t="n">
        <f aca="false">F36+G36</f>
        <v>0</v>
      </c>
    </row>
    <row r="37" customFormat="false" ht="15" hidden="false" customHeight="false" outlineLevel="0" collapsed="false">
      <c r="A37" s="4" t="n">
        <v>136</v>
      </c>
      <c r="B37" s="5" t="n">
        <v>42.09</v>
      </c>
      <c r="C37" s="4" t="n">
        <v>7</v>
      </c>
      <c r="D37" s="4" t="n">
        <v>15</v>
      </c>
      <c r="E37" s="5" t="n">
        <f aca="false">B37*C37</f>
        <v>294.63</v>
      </c>
      <c r="F37" s="5" t="n">
        <f aca="false">E37*(1-D37/100)</f>
        <v>250.4355</v>
      </c>
      <c r="G37" s="5" t="n">
        <f aca="false">F37*0.2</f>
        <v>50.0871</v>
      </c>
      <c r="H37" s="5" t="n">
        <f aca="false">F37+G37</f>
        <v>300.5226</v>
      </c>
    </row>
    <row r="38" customFormat="false" ht="15" hidden="false" customHeight="false" outlineLevel="0" collapsed="false">
      <c r="A38" s="2" t="n">
        <v>137</v>
      </c>
      <c r="B38" s="3" t="n">
        <v>185.04</v>
      </c>
      <c r="C38" s="2" t="n">
        <v>14</v>
      </c>
      <c r="D38" s="2" t="n">
        <v>0</v>
      </c>
      <c r="E38" s="3" t="n">
        <f aca="false">B38*C38</f>
        <v>2590.56</v>
      </c>
      <c r="F38" s="3" t="n">
        <f aca="false">E38*(1-D38/100)</f>
        <v>2590.56</v>
      </c>
      <c r="G38" s="3" t="n">
        <f aca="false">F38*0.2</f>
        <v>518.112</v>
      </c>
      <c r="H38" s="3" t="n">
        <f aca="false">F38+G38</f>
        <v>3108.672</v>
      </c>
    </row>
    <row r="39" customFormat="false" ht="15" hidden="false" customHeight="false" outlineLevel="0" collapsed="false">
      <c r="A39" s="4" t="n">
        <v>138</v>
      </c>
      <c r="B39" s="5" t="n">
        <v>199.86</v>
      </c>
      <c r="C39" s="4" t="n">
        <v>2</v>
      </c>
      <c r="D39" s="4" t="n">
        <v>5</v>
      </c>
      <c r="E39" s="5" t="n">
        <f aca="false">B39*C39</f>
        <v>399.72</v>
      </c>
      <c r="F39" s="5" t="n">
        <f aca="false">E39*(1-D39/100)</f>
        <v>379.734</v>
      </c>
      <c r="G39" s="5" t="n">
        <f aca="false">F39*0.2</f>
        <v>75.9468</v>
      </c>
      <c r="H39" s="5" t="n">
        <f aca="false">F39+G39</f>
        <v>455.6808</v>
      </c>
    </row>
    <row r="40" customFormat="false" ht="15" hidden="false" customHeight="false" outlineLevel="0" collapsed="false">
      <c r="A40" s="2" t="n">
        <v>139</v>
      </c>
      <c r="B40" s="3" t="n">
        <v>99.7</v>
      </c>
      <c r="C40" s="2" t="n">
        <v>7</v>
      </c>
      <c r="D40" s="2" t="n">
        <v>0</v>
      </c>
      <c r="E40" s="3" t="n">
        <f aca="false">B40*C40</f>
        <v>697.9</v>
      </c>
      <c r="F40" s="3" t="n">
        <f aca="false">E40*(1-D40/100)</f>
        <v>697.9</v>
      </c>
      <c r="G40" s="3" t="n">
        <f aca="false">F40*0.2</f>
        <v>139.58</v>
      </c>
      <c r="H40" s="3" t="n">
        <f aca="false">F40+G40</f>
        <v>837.48</v>
      </c>
    </row>
    <row r="41" customFormat="false" ht="15" hidden="false" customHeight="false" outlineLevel="0" collapsed="false">
      <c r="A41" s="4" t="n">
        <v>140</v>
      </c>
      <c r="B41" s="5" t="n">
        <v>197.14</v>
      </c>
      <c r="C41" s="4" t="n">
        <v>13</v>
      </c>
      <c r="D41" s="4" t="n">
        <v>5</v>
      </c>
      <c r="E41" s="5" t="n">
        <f aca="false">B41*C41</f>
        <v>2562.82</v>
      </c>
      <c r="F41" s="5" t="n">
        <f aca="false">E41*(1-D41/100)</f>
        <v>2434.679</v>
      </c>
      <c r="G41" s="5" t="n">
        <f aca="false">F41*0.2</f>
        <v>486.9358</v>
      </c>
      <c r="H41" s="5" t="n">
        <f aca="false">F41+G41</f>
        <v>2921.6148</v>
      </c>
    </row>
    <row r="42" customFormat="false" ht="15" hidden="false" customHeight="false" outlineLevel="0" collapsed="false">
      <c r="A42" s="2" t="n">
        <v>141</v>
      </c>
      <c r="B42" s="3" t="n">
        <v>191.68</v>
      </c>
      <c r="C42" s="2" t="n">
        <v>9</v>
      </c>
      <c r="D42" s="2" t="n">
        <v>15</v>
      </c>
      <c r="E42" s="3" t="n">
        <f aca="false">B42*C42</f>
        <v>1725.12</v>
      </c>
      <c r="F42" s="3" t="n">
        <f aca="false">E42*(1-D42/100)</f>
        <v>1466.352</v>
      </c>
      <c r="G42" s="3" t="n">
        <f aca="false">F42*0.2</f>
        <v>293.2704</v>
      </c>
      <c r="H42" s="3" t="n">
        <f aca="false">F42+G42</f>
        <v>1759.6224</v>
      </c>
    </row>
    <row r="43" customFormat="false" ht="15" hidden="false" customHeight="false" outlineLevel="0" collapsed="false">
      <c r="A43" s="4" t="n">
        <v>142</v>
      </c>
      <c r="B43" s="5" t="n">
        <v>62.86</v>
      </c>
      <c r="C43" s="4" t="n">
        <v>10</v>
      </c>
      <c r="D43" s="4" t="n">
        <v>0</v>
      </c>
      <c r="E43" s="5" t="n">
        <f aca="false">B43*C43</f>
        <v>628.6</v>
      </c>
      <c r="F43" s="5" t="n">
        <f aca="false">E43*(1-D43/100)</f>
        <v>628.6</v>
      </c>
      <c r="G43" s="5" t="n">
        <f aca="false">F43*0.2</f>
        <v>125.72</v>
      </c>
      <c r="H43" s="5" t="n">
        <f aca="false">F43+G43</f>
        <v>754.32</v>
      </c>
    </row>
    <row r="44" customFormat="false" ht="15" hidden="false" customHeight="false" outlineLevel="0" collapsed="false">
      <c r="A44" s="2" t="n">
        <v>143</v>
      </c>
      <c r="B44" s="3" t="n">
        <v>16.15</v>
      </c>
      <c r="C44" s="2" t="n">
        <v>9</v>
      </c>
      <c r="D44" s="2" t="n">
        <v>20</v>
      </c>
      <c r="E44" s="3" t="n">
        <f aca="false">B44*C44</f>
        <v>145.35</v>
      </c>
      <c r="F44" s="3" t="n">
        <f aca="false">E44*(1-D44/100)</f>
        <v>116.28</v>
      </c>
      <c r="G44" s="3" t="n">
        <f aca="false">F44*0.2</f>
        <v>23.256</v>
      </c>
      <c r="H44" s="3" t="n">
        <f aca="false">F44+G44</f>
        <v>139.536</v>
      </c>
    </row>
    <row r="45" customFormat="false" ht="15" hidden="false" customHeight="false" outlineLevel="0" collapsed="false">
      <c r="A45" s="4" t="n">
        <v>144</v>
      </c>
      <c r="B45" s="5" t="n">
        <v>192.35</v>
      </c>
      <c r="C45" s="4" t="n">
        <v>2</v>
      </c>
      <c r="D45" s="4" t="n">
        <v>0</v>
      </c>
      <c r="E45" s="5" t="n">
        <f aca="false">B45*C45</f>
        <v>384.7</v>
      </c>
      <c r="F45" s="5" t="n">
        <f aca="false">E45*(1-D45/100)</f>
        <v>384.7</v>
      </c>
      <c r="G45" s="5" t="n">
        <f aca="false">F45*0.2</f>
        <v>76.94</v>
      </c>
      <c r="H45" s="5" t="n">
        <f aca="false">F45+G45</f>
        <v>461.64</v>
      </c>
    </row>
    <row r="46" customFormat="false" ht="15" hidden="false" customHeight="false" outlineLevel="0" collapsed="false">
      <c r="A46" s="2" t="n">
        <v>145</v>
      </c>
      <c r="B46" s="3" t="n">
        <v>173.05</v>
      </c>
      <c r="C46" s="2" t="n">
        <v>15</v>
      </c>
      <c r="D46" s="2" t="n">
        <v>25</v>
      </c>
      <c r="E46" s="3" t="n">
        <f aca="false">B46*C46</f>
        <v>2595.75</v>
      </c>
      <c r="F46" s="3" t="n">
        <f aca="false">E46*(1-D46/100)</f>
        <v>1946.8125</v>
      </c>
      <c r="G46" s="3" t="n">
        <f aca="false">F46*0.2</f>
        <v>389.3625</v>
      </c>
      <c r="H46" s="3" t="n">
        <f aca="false">F46+G46</f>
        <v>2336.175</v>
      </c>
    </row>
    <row r="47" customFormat="false" ht="15" hidden="false" customHeight="false" outlineLevel="0" collapsed="false">
      <c r="A47" s="4" t="n">
        <v>146</v>
      </c>
      <c r="B47" s="5" t="n">
        <v>125.78</v>
      </c>
      <c r="C47" s="4" t="n">
        <v>10</v>
      </c>
      <c r="D47" s="4" t="n">
        <v>10</v>
      </c>
      <c r="E47" s="5" t="n">
        <f aca="false">B47*C47</f>
        <v>1257.8</v>
      </c>
      <c r="F47" s="5" t="n">
        <f aca="false">E47*(1-D47/100)</f>
        <v>1132.02</v>
      </c>
      <c r="G47" s="5" t="n">
        <f aca="false">F47*0.2</f>
        <v>226.404</v>
      </c>
      <c r="H47" s="5" t="n">
        <f aca="false">F47+G47</f>
        <v>1358.424</v>
      </c>
    </row>
    <row r="48" customFormat="false" ht="15" hidden="false" customHeight="false" outlineLevel="0" collapsed="false">
      <c r="A48" s="2" t="n">
        <v>147</v>
      </c>
      <c r="B48" s="3" t="n">
        <v>44.83</v>
      </c>
      <c r="C48" s="2" t="n">
        <v>4</v>
      </c>
      <c r="D48" s="2" t="n">
        <v>0</v>
      </c>
      <c r="E48" s="3" t="n">
        <f aca="false">B48*C48</f>
        <v>179.32</v>
      </c>
      <c r="F48" s="3" t="n">
        <f aca="false">E48*(1-D48/100)</f>
        <v>179.32</v>
      </c>
      <c r="G48" s="3" t="n">
        <f aca="false">F48*0.2</f>
        <v>35.864</v>
      </c>
      <c r="H48" s="3" t="n">
        <f aca="false">F48+G48</f>
        <v>215.184</v>
      </c>
    </row>
    <row r="49" customFormat="false" ht="15" hidden="false" customHeight="false" outlineLevel="0" collapsed="false">
      <c r="A49" s="4" t="n">
        <v>148</v>
      </c>
      <c r="B49" s="5" t="n">
        <v>63.5</v>
      </c>
      <c r="C49" s="4" t="n">
        <v>13</v>
      </c>
      <c r="D49" s="4" t="n">
        <v>0</v>
      </c>
      <c r="E49" s="5" t="n">
        <f aca="false">B49*C49</f>
        <v>825.5</v>
      </c>
      <c r="F49" s="5" t="n">
        <f aca="false">E49*(1-D49/100)</f>
        <v>825.5</v>
      </c>
      <c r="G49" s="5" t="n">
        <f aca="false">F49*0.2</f>
        <v>165.1</v>
      </c>
      <c r="H49" s="5" t="n">
        <f aca="false">F49+G49</f>
        <v>990.6</v>
      </c>
    </row>
    <row r="50" customFormat="false" ht="15" hidden="false" customHeight="false" outlineLevel="0" collapsed="false">
      <c r="A50" s="2" t="n">
        <v>149</v>
      </c>
      <c r="B50" s="3" t="n">
        <v>199.7</v>
      </c>
      <c r="C50" s="2" t="n">
        <v>2</v>
      </c>
      <c r="D50" s="2" t="n">
        <v>20</v>
      </c>
      <c r="E50" s="3" t="n">
        <f aca="false">B50*C50</f>
        <v>399.4</v>
      </c>
      <c r="F50" s="3" t="n">
        <f aca="false">E50*(1-D50/100)</f>
        <v>319.52</v>
      </c>
      <c r="G50" s="3" t="n">
        <f aca="false">F50*0.2</f>
        <v>63.904</v>
      </c>
      <c r="H50" s="3" t="n">
        <f aca="false">F50+G50</f>
        <v>383.424</v>
      </c>
    </row>
    <row r="51" customFormat="false" ht="15" hidden="false" customHeight="false" outlineLevel="0" collapsed="false">
      <c r="A51" s="4" t="n">
        <v>150</v>
      </c>
      <c r="B51" s="5" t="n">
        <v>186.99</v>
      </c>
      <c r="C51" s="4" t="n">
        <v>15</v>
      </c>
      <c r="D51" s="4" t="n">
        <v>5</v>
      </c>
      <c r="E51" s="5" t="n">
        <f aca="false">B51*C51</f>
        <v>2804.85</v>
      </c>
      <c r="F51" s="5" t="n">
        <f aca="false">E51*(1-D51/100)</f>
        <v>2664.6075</v>
      </c>
      <c r="G51" s="5" t="n">
        <f aca="false">F51*0.2</f>
        <v>532.9215</v>
      </c>
      <c r="H51" s="5" t="n">
        <f aca="false">F51+G51</f>
        <v>3197.529</v>
      </c>
    </row>
    <row r="52" customFormat="false" ht="15" hidden="false" customHeight="false" outlineLevel="0" collapsed="false">
      <c r="A52" s="2" t="n">
        <v>151</v>
      </c>
      <c r="B52" s="3" t="n">
        <v>167.58</v>
      </c>
      <c r="C52" s="2" t="n">
        <v>10</v>
      </c>
      <c r="D52" s="2" t="n">
        <v>30</v>
      </c>
      <c r="E52" s="3" t="n">
        <f aca="false">B52*C52</f>
        <v>1675.8</v>
      </c>
      <c r="F52" s="3" t="n">
        <f aca="false">E52*(1-D52/100)</f>
        <v>1173.06</v>
      </c>
      <c r="G52" s="3" t="n">
        <f aca="false">F52*0.2</f>
        <v>234.612</v>
      </c>
      <c r="H52" s="3" t="n">
        <f aca="false">F52+G52</f>
        <v>1407.672</v>
      </c>
    </row>
    <row r="53" customFormat="false" ht="15" hidden="false" customHeight="false" outlineLevel="0" collapsed="false">
      <c r="A53" s="4" t="n">
        <v>152</v>
      </c>
      <c r="B53" s="5" t="n">
        <v>135.23</v>
      </c>
      <c r="C53" s="4" t="n">
        <v>15</v>
      </c>
      <c r="D53" s="4" t="n">
        <v>0</v>
      </c>
      <c r="E53" s="5" t="n">
        <f aca="false">B53*C53</f>
        <v>2028.45</v>
      </c>
      <c r="F53" s="5" t="n">
        <f aca="false">E53*(1-D53/100)</f>
        <v>2028.45</v>
      </c>
      <c r="G53" s="5" t="n">
        <f aca="false">F53*0.2</f>
        <v>405.69</v>
      </c>
      <c r="H53" s="5" t="n">
        <f aca="false">F53+G53</f>
        <v>2434.14</v>
      </c>
    </row>
    <row r="54" customFormat="false" ht="15" hidden="false" customHeight="false" outlineLevel="0" collapsed="false">
      <c r="A54" s="2" t="n">
        <v>153</v>
      </c>
      <c r="B54" s="3" t="n">
        <v>178.49</v>
      </c>
      <c r="C54" s="2" t="n">
        <v>3</v>
      </c>
      <c r="D54" s="2" t="n">
        <v>25</v>
      </c>
      <c r="E54" s="3" t="n">
        <f aca="false">B54*C54</f>
        <v>535.47</v>
      </c>
      <c r="F54" s="3" t="n">
        <f aca="false">E54*(1-D54/100)</f>
        <v>401.6025</v>
      </c>
      <c r="G54" s="3" t="n">
        <f aca="false">F54*0.2</f>
        <v>80.3205</v>
      </c>
      <c r="H54" s="3" t="n">
        <f aca="false">F54+G54</f>
        <v>481.923</v>
      </c>
    </row>
    <row r="55" customFormat="false" ht="15" hidden="false" customHeight="false" outlineLevel="0" collapsed="false">
      <c r="A55" s="4" t="n">
        <v>154</v>
      </c>
      <c r="B55" s="5" t="n">
        <v>71.86</v>
      </c>
      <c r="C55" s="4" t="n">
        <v>14</v>
      </c>
      <c r="D55" s="4" t="n">
        <v>15</v>
      </c>
      <c r="E55" s="5" t="n">
        <f aca="false">B55*C55</f>
        <v>1006.04</v>
      </c>
      <c r="F55" s="5" t="n">
        <f aca="false">E55*(1-D55/100)</f>
        <v>855.134</v>
      </c>
      <c r="G55" s="5" t="n">
        <f aca="false">F55*0.2</f>
        <v>171.0268</v>
      </c>
      <c r="H55" s="5" t="n">
        <f aca="false">F55+G55</f>
        <v>1026.1608</v>
      </c>
    </row>
    <row r="56" customFormat="false" ht="15" hidden="false" customHeight="false" outlineLevel="0" collapsed="false">
      <c r="A56" s="2" t="n">
        <v>155</v>
      </c>
      <c r="B56" s="3" t="n">
        <v>182.09</v>
      </c>
      <c r="C56" s="2" t="n">
        <v>0</v>
      </c>
      <c r="D56" s="2" t="n">
        <v>5</v>
      </c>
      <c r="E56" s="3" t="n">
        <f aca="false">B56*C56</f>
        <v>0</v>
      </c>
      <c r="F56" s="3" t="n">
        <f aca="false">E56*(1-D56/100)</f>
        <v>0</v>
      </c>
      <c r="G56" s="3" t="n">
        <f aca="false">F56*0.2</f>
        <v>0</v>
      </c>
      <c r="H56" s="3" t="n">
        <f aca="false">F56+G56</f>
        <v>0</v>
      </c>
    </row>
    <row r="57" customFormat="false" ht="15" hidden="false" customHeight="false" outlineLevel="0" collapsed="false">
      <c r="A57" s="4" t="n">
        <v>156</v>
      </c>
      <c r="B57" s="5" t="n">
        <v>119.95</v>
      </c>
      <c r="C57" s="4" t="n">
        <v>3</v>
      </c>
      <c r="D57" s="4" t="n">
        <v>5</v>
      </c>
      <c r="E57" s="5" t="n">
        <f aca="false">B57*C57</f>
        <v>359.85</v>
      </c>
      <c r="F57" s="5" t="n">
        <f aca="false">E57*(1-D57/100)</f>
        <v>341.8575</v>
      </c>
      <c r="G57" s="5" t="n">
        <f aca="false">F57*0.2</f>
        <v>68.3715</v>
      </c>
      <c r="H57" s="5" t="n">
        <f aca="false">F57+G57</f>
        <v>410.229</v>
      </c>
    </row>
    <row r="58" customFormat="false" ht="15" hidden="false" customHeight="false" outlineLevel="0" collapsed="false">
      <c r="A58" s="2" t="n">
        <v>157</v>
      </c>
      <c r="B58" s="3" t="n">
        <v>91.16</v>
      </c>
      <c r="C58" s="2" t="n">
        <v>9</v>
      </c>
      <c r="D58" s="2" t="n">
        <v>0</v>
      </c>
      <c r="E58" s="3" t="n">
        <f aca="false">B58*C58</f>
        <v>820.44</v>
      </c>
      <c r="F58" s="3" t="n">
        <f aca="false">E58*(1-D58/100)</f>
        <v>820.44</v>
      </c>
      <c r="G58" s="3" t="n">
        <f aca="false">F58*0.2</f>
        <v>164.088</v>
      </c>
      <c r="H58" s="3" t="n">
        <f aca="false">F58+G58</f>
        <v>984.528</v>
      </c>
    </row>
    <row r="59" customFormat="false" ht="15" hidden="false" customHeight="false" outlineLevel="0" collapsed="false">
      <c r="A59" s="4" t="n">
        <v>158</v>
      </c>
      <c r="B59" s="5" t="n">
        <v>177.21</v>
      </c>
      <c r="C59" s="4" t="n">
        <v>9</v>
      </c>
      <c r="D59" s="4" t="n">
        <v>0</v>
      </c>
      <c r="E59" s="5" t="n">
        <f aca="false">B59*C59</f>
        <v>1594.89</v>
      </c>
      <c r="F59" s="5" t="n">
        <f aca="false">E59*(1-D59/100)</f>
        <v>1594.89</v>
      </c>
      <c r="G59" s="5" t="n">
        <f aca="false">F59*0.2</f>
        <v>318.978</v>
      </c>
      <c r="H59" s="5" t="n">
        <f aca="false">F59+G59</f>
        <v>1913.868</v>
      </c>
    </row>
    <row r="60" customFormat="false" ht="15" hidden="false" customHeight="false" outlineLevel="0" collapsed="false">
      <c r="A60" s="2" t="n">
        <v>159</v>
      </c>
      <c r="B60" s="3" t="n">
        <v>112.74</v>
      </c>
      <c r="C60" s="2" t="n">
        <v>1</v>
      </c>
      <c r="D60" s="2" t="n">
        <v>0</v>
      </c>
      <c r="E60" s="3" t="n">
        <f aca="false">B60*C60</f>
        <v>112.74</v>
      </c>
      <c r="F60" s="3" t="n">
        <f aca="false">E60*(1-D60/100)</f>
        <v>112.74</v>
      </c>
      <c r="G60" s="3" t="n">
        <f aca="false">F60*0.2</f>
        <v>22.548</v>
      </c>
      <c r="H60" s="3" t="n">
        <f aca="false">F60+G60</f>
        <v>135.288</v>
      </c>
    </row>
    <row r="61" customFormat="false" ht="15" hidden="false" customHeight="false" outlineLevel="0" collapsed="false">
      <c r="A61" s="4" t="n">
        <v>160</v>
      </c>
      <c r="B61" s="5" t="n">
        <v>45.96</v>
      </c>
      <c r="C61" s="4" t="n">
        <v>2</v>
      </c>
      <c r="D61" s="4" t="n">
        <v>20</v>
      </c>
      <c r="E61" s="5" t="n">
        <f aca="false">B61*C61</f>
        <v>91.92</v>
      </c>
      <c r="F61" s="5" t="n">
        <f aca="false">E61*(1-D61/100)</f>
        <v>73.536</v>
      </c>
      <c r="G61" s="5" t="n">
        <f aca="false">F61*0.2</f>
        <v>14.7072</v>
      </c>
      <c r="H61" s="5" t="n">
        <f aca="false">F61+G61</f>
        <v>88.2432</v>
      </c>
    </row>
    <row r="62" customFormat="false" ht="15" hidden="false" customHeight="false" outlineLevel="0" collapsed="false">
      <c r="A62" s="2" t="n">
        <v>161</v>
      </c>
      <c r="B62" s="3" t="n">
        <v>84.24</v>
      </c>
      <c r="C62" s="2" t="n">
        <v>3</v>
      </c>
      <c r="D62" s="2" t="n">
        <v>5</v>
      </c>
      <c r="E62" s="3" t="n">
        <f aca="false">B62*C62</f>
        <v>252.72</v>
      </c>
      <c r="F62" s="3" t="n">
        <f aca="false">E62*(1-D62/100)</f>
        <v>240.084</v>
      </c>
      <c r="G62" s="3" t="n">
        <f aca="false">F62*0.2</f>
        <v>48.0168</v>
      </c>
      <c r="H62" s="3" t="n">
        <f aca="false">F62+G62</f>
        <v>288.1008</v>
      </c>
    </row>
    <row r="63" customFormat="false" ht="15" hidden="false" customHeight="false" outlineLevel="0" collapsed="false">
      <c r="A63" s="4" t="n">
        <v>162</v>
      </c>
      <c r="B63" s="5" t="n">
        <v>195.36</v>
      </c>
      <c r="C63" s="4" t="n">
        <v>15</v>
      </c>
      <c r="D63" s="4" t="n">
        <v>0</v>
      </c>
      <c r="E63" s="5" t="n">
        <f aca="false">B63*C63</f>
        <v>2930.4</v>
      </c>
      <c r="F63" s="5" t="n">
        <f aca="false">E63*(1-D63/100)</f>
        <v>2930.4</v>
      </c>
      <c r="G63" s="5" t="n">
        <f aca="false">F63*0.2</f>
        <v>586.08</v>
      </c>
      <c r="H63" s="5" t="n">
        <f aca="false">F63+G63</f>
        <v>3516.48</v>
      </c>
    </row>
    <row r="64" customFormat="false" ht="15" hidden="false" customHeight="false" outlineLevel="0" collapsed="false">
      <c r="A64" s="2" t="n">
        <v>163</v>
      </c>
      <c r="B64" s="3" t="n">
        <v>69.78</v>
      </c>
      <c r="C64" s="2" t="n">
        <v>13</v>
      </c>
      <c r="D64" s="2" t="n">
        <v>5</v>
      </c>
      <c r="E64" s="3" t="n">
        <f aca="false">B64*C64</f>
        <v>907.14</v>
      </c>
      <c r="F64" s="3" t="n">
        <f aca="false">E64*(1-D64/100)</f>
        <v>861.783</v>
      </c>
      <c r="G64" s="3" t="n">
        <f aca="false">F64*0.2</f>
        <v>172.3566</v>
      </c>
      <c r="H64" s="3" t="n">
        <f aca="false">F64+G64</f>
        <v>1034.1396</v>
      </c>
    </row>
    <row r="65" customFormat="false" ht="15" hidden="false" customHeight="false" outlineLevel="0" collapsed="false">
      <c r="A65" s="4" t="n">
        <v>164</v>
      </c>
      <c r="B65" s="5" t="n">
        <v>158.54</v>
      </c>
      <c r="C65" s="4" t="n">
        <v>119</v>
      </c>
      <c r="D65" s="4" t="n">
        <v>5</v>
      </c>
      <c r="E65" s="5" t="n">
        <f aca="false">B65*C65</f>
        <v>18866.26</v>
      </c>
      <c r="F65" s="5" t="n">
        <f aca="false">E65*(1-D65/100)</f>
        <v>17922.947</v>
      </c>
      <c r="G65" s="5" t="n">
        <f aca="false">F65*0.2</f>
        <v>3584.5894</v>
      </c>
      <c r="H65" s="5" t="n">
        <f aca="false">F65+G65</f>
        <v>21507.5364</v>
      </c>
    </row>
    <row r="66" customFormat="false" ht="15" hidden="false" customHeight="false" outlineLevel="0" collapsed="false">
      <c r="A66" s="2" t="n">
        <v>165</v>
      </c>
      <c r="B66" s="3" t="n">
        <v>184.1</v>
      </c>
      <c r="C66" s="2" t="n">
        <v>14</v>
      </c>
      <c r="D66" s="2" t="n">
        <v>5</v>
      </c>
      <c r="E66" s="3" t="n">
        <f aca="false">B66*C66</f>
        <v>2577.4</v>
      </c>
      <c r="F66" s="3" t="n">
        <f aca="false">E66*(1-D66/100)</f>
        <v>2448.53</v>
      </c>
      <c r="G66" s="3" t="n">
        <f aca="false">F66*0.2</f>
        <v>489.706</v>
      </c>
      <c r="H66" s="3" t="n">
        <f aca="false">F66+G66</f>
        <v>2938.236</v>
      </c>
    </row>
    <row r="67" customFormat="false" ht="15" hidden="false" customHeight="false" outlineLevel="0" collapsed="false">
      <c r="A67" s="4" t="n">
        <v>166</v>
      </c>
      <c r="B67" s="5" t="n">
        <v>133.71</v>
      </c>
      <c r="C67" s="4" t="n">
        <v>5</v>
      </c>
      <c r="D67" s="4" t="n">
        <v>5</v>
      </c>
      <c r="E67" s="5" t="n">
        <f aca="false">B67*C67</f>
        <v>668.55</v>
      </c>
      <c r="F67" s="5" t="n">
        <f aca="false">E67*(1-D67/100)</f>
        <v>635.1225</v>
      </c>
      <c r="G67" s="5" t="n">
        <f aca="false">F67*0.2</f>
        <v>127.0245</v>
      </c>
      <c r="H67" s="5" t="n">
        <f aca="false">F67+G67</f>
        <v>762.147</v>
      </c>
    </row>
    <row r="68" customFormat="false" ht="15" hidden="false" customHeight="false" outlineLevel="0" collapsed="false">
      <c r="A68" s="2" t="n">
        <v>167</v>
      </c>
      <c r="B68" s="3" t="n">
        <v>104.33</v>
      </c>
      <c r="C68" s="2" t="n">
        <v>14</v>
      </c>
      <c r="D68" s="2" t="n">
        <v>0</v>
      </c>
      <c r="E68" s="3" t="n">
        <f aca="false">B68*C68</f>
        <v>1460.62</v>
      </c>
      <c r="F68" s="3" t="n">
        <f aca="false">E68*(1-D68/100)</f>
        <v>1460.62</v>
      </c>
      <c r="G68" s="3" t="n">
        <f aca="false">F68*0.2</f>
        <v>292.124</v>
      </c>
      <c r="H68" s="3" t="n">
        <f aca="false">F68+G68</f>
        <v>1752.744</v>
      </c>
    </row>
    <row r="69" customFormat="false" ht="15" hidden="false" customHeight="false" outlineLevel="0" collapsed="false">
      <c r="A69" s="4" t="n">
        <v>168</v>
      </c>
      <c r="B69" s="5" t="n">
        <v>194.23</v>
      </c>
      <c r="C69" s="4" t="n">
        <v>5</v>
      </c>
      <c r="D69" s="4" t="n">
        <v>0</v>
      </c>
      <c r="E69" s="5" t="n">
        <f aca="false">B69*C69</f>
        <v>971.15</v>
      </c>
      <c r="F69" s="5" t="n">
        <f aca="false">E69*(1-D69/100)</f>
        <v>971.15</v>
      </c>
      <c r="G69" s="5" t="n">
        <f aca="false">F69*0.2</f>
        <v>194.23</v>
      </c>
      <c r="H69" s="5" t="n">
        <f aca="false">F69+G69</f>
        <v>1165.38</v>
      </c>
    </row>
    <row r="70" customFormat="false" ht="15" hidden="false" customHeight="false" outlineLevel="0" collapsed="false">
      <c r="A70" s="2" t="n">
        <v>169</v>
      </c>
      <c r="B70" s="3" t="n">
        <v>72.41</v>
      </c>
      <c r="C70" s="2" t="n">
        <v>7</v>
      </c>
      <c r="D70" s="2" t="n">
        <v>20</v>
      </c>
      <c r="E70" s="3" t="n">
        <f aca="false">B70*C70</f>
        <v>506.87</v>
      </c>
      <c r="F70" s="3" t="n">
        <f aca="false">E70*(1-D70/100)</f>
        <v>405.496</v>
      </c>
      <c r="G70" s="3" t="n">
        <f aca="false">F70*0.2</f>
        <v>81.0992</v>
      </c>
      <c r="H70" s="3" t="n">
        <f aca="false">F70+G70</f>
        <v>486.5952</v>
      </c>
    </row>
    <row r="71" customFormat="false" ht="15" hidden="false" customHeight="false" outlineLevel="0" collapsed="false">
      <c r="A71" s="4" t="n">
        <v>170</v>
      </c>
      <c r="B71" s="5" t="n">
        <v>180.4</v>
      </c>
      <c r="C71" s="4" t="n">
        <v>1</v>
      </c>
      <c r="D71" s="4" t="n">
        <v>0</v>
      </c>
      <c r="E71" s="5" t="n">
        <f aca="false">B71*C71</f>
        <v>180.4</v>
      </c>
      <c r="F71" s="5" t="n">
        <f aca="false">E71*(1-D71/100)</f>
        <v>180.4</v>
      </c>
      <c r="G71" s="5" t="n">
        <f aca="false">F71*0.2</f>
        <v>36.08</v>
      </c>
      <c r="H71" s="5" t="n">
        <f aca="false">F71+G71</f>
        <v>216.48</v>
      </c>
    </row>
    <row r="72" customFormat="false" ht="15" hidden="false" customHeight="false" outlineLevel="0" collapsed="false">
      <c r="A72" s="2" t="n">
        <v>171</v>
      </c>
      <c r="B72" s="3" t="n">
        <v>162.27</v>
      </c>
      <c r="C72" s="2" t="n">
        <v>12</v>
      </c>
      <c r="D72" s="2" t="n">
        <v>5</v>
      </c>
      <c r="E72" s="3" t="n">
        <f aca="false">B72*C72</f>
        <v>1947.24</v>
      </c>
      <c r="F72" s="3" t="n">
        <f aca="false">E72*(1-D72/100)</f>
        <v>1849.878</v>
      </c>
      <c r="G72" s="3" t="n">
        <f aca="false">F72*0.2</f>
        <v>369.9756</v>
      </c>
      <c r="H72" s="3" t="n">
        <f aca="false">F72+G72</f>
        <v>2219.8536</v>
      </c>
    </row>
    <row r="73" customFormat="false" ht="15" hidden="false" customHeight="false" outlineLevel="0" collapsed="false">
      <c r="A73" s="4" t="n">
        <v>172</v>
      </c>
      <c r="B73" s="5" t="n">
        <v>18.64</v>
      </c>
      <c r="C73" s="4" t="n">
        <v>6</v>
      </c>
      <c r="D73" s="4" t="n">
        <v>30</v>
      </c>
      <c r="E73" s="5" t="n">
        <f aca="false">B73*C73</f>
        <v>111.84</v>
      </c>
      <c r="F73" s="5" t="n">
        <f aca="false">E73*(1-D73/100)</f>
        <v>78.288</v>
      </c>
      <c r="G73" s="5" t="n">
        <f aca="false">F73*0.2</f>
        <v>15.6576</v>
      </c>
      <c r="H73" s="5" t="n">
        <f aca="false">F73+G73</f>
        <v>93.9456</v>
      </c>
    </row>
    <row r="74" customFormat="false" ht="15" hidden="false" customHeight="false" outlineLevel="0" collapsed="false">
      <c r="A74" s="2" t="n">
        <v>173</v>
      </c>
      <c r="B74" s="3" t="n">
        <v>145.35</v>
      </c>
      <c r="C74" s="2" t="n">
        <v>5</v>
      </c>
      <c r="D74" s="2" t="n">
        <v>10</v>
      </c>
      <c r="E74" s="3" t="n">
        <f aca="false">B74*C74</f>
        <v>726.75</v>
      </c>
      <c r="F74" s="3" t="n">
        <f aca="false">E74*(1-D74/100)</f>
        <v>654.075</v>
      </c>
      <c r="G74" s="3" t="n">
        <f aca="false">F74*0.2</f>
        <v>130.815</v>
      </c>
      <c r="H74" s="3" t="n">
        <f aca="false">F74+G74</f>
        <v>784.89</v>
      </c>
    </row>
    <row r="75" customFormat="false" ht="15" hidden="false" customHeight="false" outlineLevel="0" collapsed="false">
      <c r="A75" s="4" t="n">
        <v>174</v>
      </c>
      <c r="B75" s="5" t="n">
        <v>62.65</v>
      </c>
      <c r="C75" s="4" t="n">
        <v>7</v>
      </c>
      <c r="D75" s="4" t="n">
        <v>10</v>
      </c>
      <c r="E75" s="5" t="n">
        <f aca="false">B75*C75</f>
        <v>438.55</v>
      </c>
      <c r="F75" s="5" t="n">
        <f aca="false">E75*(1-D75/100)</f>
        <v>394.695</v>
      </c>
      <c r="G75" s="5" t="n">
        <f aca="false">F75*0.2</f>
        <v>78.939</v>
      </c>
      <c r="H75" s="5" t="n">
        <f aca="false">F75+G75</f>
        <v>473.634</v>
      </c>
    </row>
    <row r="76" customFormat="false" ht="15" hidden="false" customHeight="false" outlineLevel="0" collapsed="false">
      <c r="A76" s="2" t="n">
        <v>176</v>
      </c>
      <c r="B76" s="3" t="n">
        <v>45.99</v>
      </c>
      <c r="C76" s="2" t="n">
        <v>10</v>
      </c>
      <c r="D76" s="2" t="n">
        <v>15</v>
      </c>
      <c r="E76" s="3" t="n">
        <f aca="false">B76*C76</f>
        <v>459.9</v>
      </c>
      <c r="F76" s="3" t="n">
        <f aca="false">E76*(1-D76/100)</f>
        <v>390.915</v>
      </c>
      <c r="G76" s="3" t="n">
        <f aca="false">F76*0.2</f>
        <v>78.183</v>
      </c>
      <c r="H76" s="3" t="n">
        <f aca="false">F76+G76</f>
        <v>469.098</v>
      </c>
    </row>
    <row r="77" customFormat="false" ht="15" hidden="false" customHeight="false" outlineLevel="0" collapsed="false">
      <c r="A77" s="4" t="n">
        <v>177</v>
      </c>
      <c r="B77" s="5" t="n">
        <v>136.75</v>
      </c>
      <c r="C77" s="4" t="n">
        <v>13</v>
      </c>
      <c r="D77" s="4" t="n">
        <v>0</v>
      </c>
      <c r="E77" s="5" t="n">
        <f aca="false">B77*C77</f>
        <v>1777.75</v>
      </c>
      <c r="F77" s="5" t="n">
        <f aca="false">E77*(1-D77/100)</f>
        <v>1777.75</v>
      </c>
      <c r="G77" s="5" t="n">
        <f aca="false">F77*0.2</f>
        <v>355.55</v>
      </c>
      <c r="H77" s="5" t="n">
        <f aca="false">F77+G77</f>
        <v>2133.3</v>
      </c>
    </row>
    <row r="78" customFormat="false" ht="15" hidden="false" customHeight="false" outlineLevel="0" collapsed="false">
      <c r="A78" s="2" t="n">
        <v>178</v>
      </c>
      <c r="B78" s="3" t="n">
        <v>60.34</v>
      </c>
      <c r="C78" s="2" t="n">
        <v>10</v>
      </c>
      <c r="D78" s="2" t="n">
        <v>5</v>
      </c>
      <c r="E78" s="3" t="n">
        <f aca="false">B78*C78</f>
        <v>603.4</v>
      </c>
      <c r="F78" s="3" t="n">
        <f aca="false">E78*(1-D78/100)</f>
        <v>573.23</v>
      </c>
      <c r="G78" s="3" t="n">
        <f aca="false">F78*0.2</f>
        <v>114.646</v>
      </c>
      <c r="H78" s="3" t="n">
        <f aca="false">F78+G78</f>
        <v>687.876</v>
      </c>
    </row>
    <row r="79" customFormat="false" ht="15" hidden="false" customHeight="false" outlineLevel="0" collapsed="false">
      <c r="A79" s="4" t="n">
        <v>179</v>
      </c>
      <c r="B79" s="5" t="n">
        <v>48.8</v>
      </c>
      <c r="C79" s="4" t="n">
        <v>1</v>
      </c>
      <c r="D79" s="4" t="n">
        <v>0</v>
      </c>
      <c r="E79" s="5" t="n">
        <f aca="false">B79*C79</f>
        <v>48.8</v>
      </c>
      <c r="F79" s="5" t="n">
        <f aca="false">E79*(1-D79/100)</f>
        <v>48.8</v>
      </c>
      <c r="G79" s="5" t="n">
        <f aca="false">F79*0.2</f>
        <v>9.76</v>
      </c>
      <c r="H79" s="5" t="n">
        <f aca="false">F79+G79</f>
        <v>58.56</v>
      </c>
    </row>
    <row r="80" customFormat="false" ht="15" hidden="false" customHeight="false" outlineLevel="0" collapsed="false">
      <c r="A80" s="2" t="n">
        <v>180</v>
      </c>
      <c r="B80" s="3" t="n">
        <v>124.2</v>
      </c>
      <c r="C80" s="2" t="n">
        <v>8</v>
      </c>
      <c r="D80" s="2" t="n">
        <v>30</v>
      </c>
      <c r="E80" s="3" t="n">
        <f aca="false">B80*C80</f>
        <v>993.6</v>
      </c>
      <c r="F80" s="3" t="n">
        <f aca="false">E80*(1-D80/100)</f>
        <v>695.52</v>
      </c>
      <c r="G80" s="3" t="n">
        <f aca="false">F80*0.2</f>
        <v>139.104</v>
      </c>
      <c r="H80" s="3" t="n">
        <f aca="false">F80+G80</f>
        <v>834.624</v>
      </c>
    </row>
    <row r="81" customFormat="false" ht="15" hidden="false" customHeight="false" outlineLevel="0" collapsed="false">
      <c r="A81" s="4" t="n">
        <v>181</v>
      </c>
      <c r="B81" s="5" t="n">
        <v>145.08</v>
      </c>
      <c r="C81" s="4" t="n">
        <v>7</v>
      </c>
      <c r="D81" s="4" t="n">
        <v>30</v>
      </c>
      <c r="E81" s="5" t="n">
        <f aca="false">B81*C81</f>
        <v>1015.56</v>
      </c>
      <c r="F81" s="5" t="n">
        <f aca="false">E81*(1-D81/100)</f>
        <v>710.892</v>
      </c>
      <c r="G81" s="5" t="n">
        <f aca="false">F81*0.2</f>
        <v>142.1784</v>
      </c>
      <c r="H81" s="5" t="n">
        <f aca="false">F81+G81</f>
        <v>853.0704</v>
      </c>
    </row>
    <row r="82" customFormat="false" ht="15" hidden="false" customHeight="false" outlineLevel="0" collapsed="false">
      <c r="A82" s="2" t="n">
        <v>182</v>
      </c>
      <c r="B82" s="3" t="n">
        <v>179.07</v>
      </c>
      <c r="C82" s="2" t="n">
        <v>15</v>
      </c>
      <c r="D82" s="2" t="n">
        <v>27</v>
      </c>
      <c r="E82" s="3" t="n">
        <f aca="false">B82*C82</f>
        <v>2686.05</v>
      </c>
      <c r="F82" s="3" t="n">
        <f aca="false">E82*(1-D82/100)</f>
        <v>1960.8165</v>
      </c>
      <c r="G82" s="3" t="n">
        <f aca="false">F82*0.2</f>
        <v>392.1633</v>
      </c>
      <c r="H82" s="3" t="n">
        <f aca="false">F82+G82</f>
        <v>2352.9798</v>
      </c>
    </row>
    <row r="83" customFormat="false" ht="15" hidden="false" customHeight="false" outlineLevel="0" collapsed="false">
      <c r="A83" s="4" t="n">
        <v>183</v>
      </c>
      <c r="B83" s="5" t="n">
        <v>161.8</v>
      </c>
      <c r="C83" s="4" t="n">
        <v>8</v>
      </c>
      <c r="D83" s="4" t="n">
        <v>0</v>
      </c>
      <c r="E83" s="5" t="n">
        <f aca="false">B83*C83</f>
        <v>1294.4</v>
      </c>
      <c r="F83" s="5" t="n">
        <f aca="false">E83*(1-D83/100)</f>
        <v>1294.4</v>
      </c>
      <c r="G83" s="5" t="n">
        <f aca="false">F83*0.2</f>
        <v>258.88</v>
      </c>
      <c r="H83" s="5" t="n">
        <f aca="false">F83+G83</f>
        <v>1553.28</v>
      </c>
    </row>
    <row r="84" customFormat="false" ht="15" hidden="false" customHeight="false" outlineLevel="0" collapsed="false">
      <c r="A84" s="2" t="n">
        <v>184</v>
      </c>
      <c r="B84" s="3" t="n">
        <v>170.43</v>
      </c>
      <c r="C84" s="2" t="n">
        <v>13</v>
      </c>
      <c r="D84" s="2" t="n">
        <v>20</v>
      </c>
      <c r="E84" s="3" t="n">
        <f aca="false">B84*C84</f>
        <v>2215.59</v>
      </c>
      <c r="F84" s="3" t="n">
        <f aca="false">E84*(1-D84/100)</f>
        <v>1772.472</v>
      </c>
      <c r="G84" s="3" t="n">
        <f aca="false">F84*0.2</f>
        <v>354.4944</v>
      </c>
      <c r="H84" s="3" t="n">
        <f aca="false">F84+G84</f>
        <v>2126.9664</v>
      </c>
    </row>
    <row r="85" customFormat="false" ht="15" hidden="false" customHeight="false" outlineLevel="0" collapsed="false">
      <c r="A85" s="4" t="n">
        <v>185</v>
      </c>
      <c r="B85" s="5" t="n">
        <v>121.11</v>
      </c>
      <c r="C85" s="4" t="n">
        <v>15</v>
      </c>
      <c r="D85" s="4" t="n">
        <v>20</v>
      </c>
      <c r="E85" s="5" t="n">
        <f aca="false">B85*C85</f>
        <v>1816.65</v>
      </c>
      <c r="F85" s="5" t="n">
        <f aca="false">E85*(1-D85/100)</f>
        <v>1453.32</v>
      </c>
      <c r="G85" s="5" t="n">
        <f aca="false">F85*0.2</f>
        <v>290.664</v>
      </c>
      <c r="H85" s="5" t="n">
        <f aca="false">F85+G85</f>
        <v>1743.984</v>
      </c>
    </row>
    <row r="86" customFormat="false" ht="15" hidden="false" customHeight="false" outlineLevel="0" collapsed="false">
      <c r="A86" s="2" t="n">
        <v>186</v>
      </c>
      <c r="B86" s="3" t="n">
        <v>181.84</v>
      </c>
      <c r="C86" s="2" t="n">
        <v>3</v>
      </c>
      <c r="D86" s="2" t="n">
        <v>15</v>
      </c>
      <c r="E86" s="3" t="n">
        <f aca="false">B86*C86</f>
        <v>545.52</v>
      </c>
      <c r="F86" s="3" t="n">
        <f aca="false">E86*(1-D86/100)</f>
        <v>463.692</v>
      </c>
      <c r="G86" s="3" t="n">
        <f aca="false">F86*0.2</f>
        <v>92.7384</v>
      </c>
      <c r="H86" s="3" t="n">
        <f aca="false">F86+G86</f>
        <v>556.4304</v>
      </c>
    </row>
    <row r="87" customFormat="false" ht="15" hidden="false" customHeight="false" outlineLevel="0" collapsed="false">
      <c r="A87" s="4" t="n">
        <v>187</v>
      </c>
      <c r="B87" s="5" t="n">
        <v>151.6</v>
      </c>
      <c r="C87" s="4" t="n">
        <v>5</v>
      </c>
      <c r="D87" s="4" t="n">
        <v>20</v>
      </c>
      <c r="E87" s="5" t="n">
        <f aca="false">B87*C87</f>
        <v>758</v>
      </c>
      <c r="F87" s="5" t="n">
        <f aca="false">E87*(1-D87/100)</f>
        <v>606.4</v>
      </c>
      <c r="G87" s="5" t="n">
        <f aca="false">F87*0.2</f>
        <v>121.28</v>
      </c>
      <c r="H87" s="5" t="n">
        <f aca="false">F87+G87</f>
        <v>727.68</v>
      </c>
    </row>
    <row r="88" customFormat="false" ht="15" hidden="false" customHeight="false" outlineLevel="0" collapsed="false">
      <c r="A88" s="2" t="n">
        <v>188</v>
      </c>
      <c r="B88" s="3" t="n">
        <v>51.65</v>
      </c>
      <c r="C88" s="2" t="n">
        <v>12</v>
      </c>
      <c r="D88" s="2" t="n">
        <v>5</v>
      </c>
      <c r="E88" s="3" t="n">
        <f aca="false">B88*C88</f>
        <v>619.8</v>
      </c>
      <c r="F88" s="3" t="n">
        <f aca="false">E88*(1-D88/100)</f>
        <v>588.81</v>
      </c>
      <c r="G88" s="3" t="n">
        <f aca="false">F88*0.2</f>
        <v>117.762</v>
      </c>
      <c r="H88" s="3" t="n">
        <f aca="false">F88+G88</f>
        <v>706.572</v>
      </c>
    </row>
    <row r="89" customFormat="false" ht="15" hidden="false" customHeight="false" outlineLevel="0" collapsed="false">
      <c r="A89" s="4" t="n">
        <v>189</v>
      </c>
      <c r="B89" s="5" t="n">
        <v>179.14</v>
      </c>
      <c r="C89" s="4" t="n">
        <v>2</v>
      </c>
      <c r="D89" s="4" t="n">
        <v>0</v>
      </c>
      <c r="E89" s="5" t="n">
        <f aca="false">B89*C89</f>
        <v>358.28</v>
      </c>
      <c r="F89" s="5" t="n">
        <f aca="false">E89*(1-D89/100)</f>
        <v>358.28</v>
      </c>
      <c r="G89" s="5" t="n">
        <f aca="false">F89*0.2</f>
        <v>71.656</v>
      </c>
      <c r="H89" s="5" t="n">
        <f aca="false">F89+G89</f>
        <v>429.936</v>
      </c>
    </row>
    <row r="90" customFormat="false" ht="15" hidden="false" customHeight="false" outlineLevel="0" collapsed="false">
      <c r="A90" s="2" t="n">
        <v>190</v>
      </c>
      <c r="B90" s="3" t="n">
        <v>17.52</v>
      </c>
      <c r="C90" s="2" t="n">
        <v>9</v>
      </c>
      <c r="D90" s="2" t="n">
        <v>0</v>
      </c>
      <c r="E90" s="3" t="n">
        <f aca="false">B90*C90</f>
        <v>157.68</v>
      </c>
      <c r="F90" s="3" t="n">
        <f aca="false">E90*(1-D90/100)</f>
        <v>157.68</v>
      </c>
      <c r="G90" s="3" t="n">
        <f aca="false">F90*0.2</f>
        <v>31.536</v>
      </c>
      <c r="H90" s="3" t="n">
        <f aca="false">F90+G90</f>
        <v>189.216</v>
      </c>
    </row>
    <row r="91" customFormat="false" ht="15" hidden="false" customHeight="false" outlineLevel="0" collapsed="false">
      <c r="A91" s="4" t="n">
        <v>191</v>
      </c>
      <c r="B91" s="5" t="n">
        <v>86.93</v>
      </c>
      <c r="C91" s="4" t="n">
        <v>10</v>
      </c>
      <c r="D91" s="4" t="n">
        <v>0</v>
      </c>
      <c r="E91" s="5" t="n">
        <f aca="false">B91*C91</f>
        <v>869.3</v>
      </c>
      <c r="F91" s="5" t="n">
        <f aca="false">E91*(1-D91/100)</f>
        <v>869.3</v>
      </c>
      <c r="G91" s="5" t="n">
        <f aca="false">F91*0.2</f>
        <v>173.86</v>
      </c>
      <c r="H91" s="5" t="n">
        <f aca="false">F91+G91</f>
        <v>1043.16</v>
      </c>
    </row>
    <row r="92" customFormat="false" ht="15" hidden="false" customHeight="false" outlineLevel="0" collapsed="false">
      <c r="A92" s="2" t="n">
        <v>192</v>
      </c>
      <c r="B92" s="3" t="n">
        <v>154.29</v>
      </c>
      <c r="C92" s="2" t="n">
        <v>1</v>
      </c>
      <c r="D92" s="2" t="n">
        <v>5</v>
      </c>
      <c r="E92" s="3" t="n">
        <f aca="false">B92*C92</f>
        <v>154.29</v>
      </c>
      <c r="F92" s="3" t="n">
        <f aca="false">E92*(1-D92/100)</f>
        <v>146.5755</v>
      </c>
      <c r="G92" s="3" t="n">
        <f aca="false">F92*0.2</f>
        <v>29.3151</v>
      </c>
      <c r="H92" s="3" t="n">
        <f aca="false">F92+G92</f>
        <v>175.8906</v>
      </c>
    </row>
    <row r="93" customFormat="false" ht="15" hidden="false" customHeight="false" outlineLevel="0" collapsed="false">
      <c r="A93" s="4" t="n">
        <v>193</v>
      </c>
      <c r="B93" s="5" t="n">
        <v>171.42</v>
      </c>
      <c r="C93" s="4" t="n">
        <v>7</v>
      </c>
      <c r="D93" s="4" t="n">
        <v>20</v>
      </c>
      <c r="E93" s="5" t="n">
        <f aca="false">B93*C93</f>
        <v>1199.94</v>
      </c>
      <c r="F93" s="5" t="n">
        <f aca="false">E93*(1-D93/100)</f>
        <v>959.952</v>
      </c>
      <c r="G93" s="5" t="n">
        <f aca="false">F93*0.2</f>
        <v>191.9904</v>
      </c>
      <c r="H93" s="5" t="n">
        <f aca="false">F93+G93</f>
        <v>1151.9424</v>
      </c>
    </row>
    <row r="94" customFormat="false" ht="15" hidden="false" customHeight="false" outlineLevel="0" collapsed="false">
      <c r="A94" s="2" t="n">
        <v>194</v>
      </c>
      <c r="B94" s="3" t="n">
        <v>180.07</v>
      </c>
      <c r="C94" s="2" t="n">
        <v>5</v>
      </c>
      <c r="D94" s="2" t="n">
        <v>0</v>
      </c>
      <c r="E94" s="3" t="n">
        <f aca="false">B94*C94</f>
        <v>900.35</v>
      </c>
      <c r="F94" s="3" t="n">
        <f aca="false">E94*(1-D94/100)</f>
        <v>900.35</v>
      </c>
      <c r="G94" s="3" t="n">
        <f aca="false">F94*0.2</f>
        <v>180.07</v>
      </c>
      <c r="H94" s="3" t="n">
        <f aca="false">F94+G94</f>
        <v>1080.42</v>
      </c>
    </row>
    <row r="95" customFormat="false" ht="15" hidden="false" customHeight="false" outlineLevel="0" collapsed="false">
      <c r="A95" s="4" t="n">
        <v>195</v>
      </c>
      <c r="B95" s="5" t="n">
        <v>135.43</v>
      </c>
      <c r="C95" s="4" t="n">
        <v>12</v>
      </c>
      <c r="D95" s="4" t="n">
        <v>15</v>
      </c>
      <c r="E95" s="5" t="n">
        <f aca="false">B95*C95</f>
        <v>1625.16</v>
      </c>
      <c r="F95" s="5" t="n">
        <f aca="false">E95*(1-D95/100)</f>
        <v>1381.386</v>
      </c>
      <c r="G95" s="5" t="n">
        <f aca="false">F95*0.2</f>
        <v>276.2772</v>
      </c>
      <c r="H95" s="5" t="n">
        <f aca="false">F95+G95</f>
        <v>1657.6632</v>
      </c>
    </row>
    <row r="96" customFormat="false" ht="15" hidden="false" customHeight="false" outlineLevel="0" collapsed="false">
      <c r="A96" s="2" t="n">
        <v>196</v>
      </c>
      <c r="B96" s="3" t="n">
        <v>196.24</v>
      </c>
      <c r="C96" s="2" t="n">
        <v>15</v>
      </c>
      <c r="D96" s="2" t="n">
        <v>25</v>
      </c>
      <c r="E96" s="3" t="n">
        <f aca="false">B96*C96</f>
        <v>2943.6</v>
      </c>
      <c r="F96" s="3" t="n">
        <f aca="false">E96*(1-D96/100)</f>
        <v>2207.7</v>
      </c>
      <c r="G96" s="3" t="n">
        <f aca="false">F96*0.2</f>
        <v>441.54</v>
      </c>
      <c r="H96" s="3" t="n">
        <f aca="false">F96+G96</f>
        <v>2649.24</v>
      </c>
    </row>
    <row r="97" customFormat="false" ht="15" hidden="false" customHeight="false" outlineLevel="0" collapsed="false">
      <c r="A97" s="4" t="n">
        <v>197</v>
      </c>
      <c r="B97" s="5" t="n">
        <v>21.37</v>
      </c>
      <c r="C97" s="4" t="n">
        <v>14</v>
      </c>
      <c r="D97" s="4" t="n">
        <v>0</v>
      </c>
      <c r="E97" s="5" t="n">
        <f aca="false">B97*C97</f>
        <v>299.18</v>
      </c>
      <c r="F97" s="5" t="n">
        <f aca="false">E97*(1-D97/100)</f>
        <v>299.18</v>
      </c>
      <c r="G97" s="5" t="n">
        <f aca="false">F97*0.2</f>
        <v>59.836</v>
      </c>
      <c r="H97" s="5" t="n">
        <f aca="false">F97+G97</f>
        <v>359.016</v>
      </c>
    </row>
    <row r="98" customFormat="false" ht="15" hidden="false" customHeight="false" outlineLevel="0" collapsed="false">
      <c r="A98" s="2" t="n">
        <v>198</v>
      </c>
      <c r="B98" s="3" t="n">
        <v>68.83</v>
      </c>
      <c r="C98" s="2" t="n">
        <v>6</v>
      </c>
      <c r="D98" s="2" t="n">
        <v>10</v>
      </c>
      <c r="E98" s="3" t="n">
        <f aca="false">B98*C98</f>
        <v>412.98</v>
      </c>
      <c r="F98" s="3" t="n">
        <f aca="false">E98*(1-D98/100)</f>
        <v>371.682</v>
      </c>
      <c r="G98" s="3" t="n">
        <f aca="false">F98*0.2</f>
        <v>74.3364</v>
      </c>
      <c r="H98" s="3" t="n">
        <f aca="false">F98+G98</f>
        <v>446.0184</v>
      </c>
    </row>
    <row r="99" customFormat="false" ht="15" hidden="false" customHeight="false" outlineLevel="0" collapsed="false">
      <c r="A99" s="4" t="n">
        <v>199</v>
      </c>
      <c r="B99" s="5" t="n">
        <v>190.48</v>
      </c>
      <c r="C99" s="4" t="n">
        <v>14</v>
      </c>
      <c r="D99" s="4" t="n">
        <v>1</v>
      </c>
      <c r="E99" s="5" t="n">
        <f aca="false">B99*C99</f>
        <v>2666.72</v>
      </c>
      <c r="F99" s="5" t="n">
        <f aca="false">E99*(1-D99/100)</f>
        <v>2640.0528</v>
      </c>
      <c r="G99" s="5" t="n">
        <f aca="false">F99*0.2</f>
        <v>528.01056</v>
      </c>
      <c r="H99" s="5" t="n">
        <f aca="false">F99+G99</f>
        <v>3168.06336</v>
      </c>
    </row>
    <row r="100" customFormat="false" ht="15" hidden="false" customHeight="false" outlineLevel="0" collapsed="false">
      <c r="A100" s="6" t="s">
        <v>8</v>
      </c>
      <c r="B100" s="6"/>
      <c r="C100" s="6"/>
      <c r="D100" s="6"/>
      <c r="E100" s="7" t="n">
        <f aca="false">SUM(E2:E99)</f>
        <v>105143.44</v>
      </c>
      <c r="F100" s="7" t="n">
        <f aca="false">SUM(F2:F99)</f>
        <v>95145.8208</v>
      </c>
      <c r="G100" s="7" t="n">
        <f aca="false">SUM(G2:G99)</f>
        <v>19029.16416</v>
      </c>
      <c r="H100" s="7" t="n">
        <f aca="false">SUM(H2:H99)</f>
        <v>114174.98496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2026-04-19T11:00:06Z</dcterms:created>
  <dc:creator>openpyxl</dc:creator>
  <dc:description/>
  <dc:language>en-US</dc:language>
  <cp:lastModifiedBy/>
  <dcterms:modified xsi:type="dcterms:W3CDTF">2026-04-19T11:00:07Z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